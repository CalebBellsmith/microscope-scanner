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00"/>
    <numFmt numFmtId="166" formatCode="0.000"/>
    <numFmt numFmtId="167" formatCode="0.000000000"/>
  </numFmts>
  <fonts count="9">
    <font>
      <name val="Calibri"/>
      <family val="2"/>
      <color theme="1"/>
      <sz val="11"/>
      <scheme val="minor"/>
    </font>
    <font>
      <name val="Arial"/>
      <b val="1"/>
      <color theme="1"/>
      <sz val="14"/>
    </font>
    <font>
      <name val="Arial"/>
      <color theme="1"/>
    </font>
    <font>
      <name val="Arial"/>
      <b val="1"/>
      <i val="1"/>
      <color theme="1"/>
      <sz val="12"/>
    </font>
    <font>
      <name val="Arial"/>
      <b val="1"/>
      <color theme="1"/>
    </font>
    <font>
      <name val="Arial"/>
      <b val="1"/>
      <color theme="1"/>
      <sz val="11"/>
    </font>
    <font>
      <name val="Arial"/>
      <color rgb="FF000000"/>
      <sz val="10"/>
    </font>
    <font>
      <name val="Arial"/>
      <i val="1"/>
      <color theme="1"/>
    </font>
    <font>
      <name val="Arial"/>
      <color theme="1"/>
      <sz val="8"/>
    </font>
  </fonts>
  <fills count="7">
    <fill>
      <patternFill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pivotButton="0" quotePrefix="0" xfId="0"/>
    <xf numFmtId="1" fontId="3" fillId="0" borderId="1" applyAlignment="1" pivotButton="0" quotePrefix="0" xfId="0">
      <alignment vertical="center"/>
    </xf>
    <xf numFmtId="0" fontId="4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1" fontId="2" fillId="0" borderId="1" applyAlignment="1" pivotButton="0" quotePrefix="0" xfId="0">
      <alignment vertical="center" wrapText="1"/>
    </xf>
    <xf numFmtId="1" fontId="4" fillId="0" borderId="1" pivotButton="0" quotePrefix="0" xfId="0"/>
    <xf numFmtId="0" fontId="4" fillId="3" borderId="2" applyAlignment="1" pivotButton="0" quotePrefix="0" xfId="0">
      <alignment horizontal="center" vertical="bottom"/>
    </xf>
    <xf numFmtId="0" fontId="4" fillId="3" borderId="3" applyAlignment="1" pivotButton="0" quotePrefix="0" xfId="0">
      <alignment horizontal="center" vertical="bottom"/>
    </xf>
    <xf numFmtId="0" fontId="4" fillId="3" borderId="4" applyAlignment="1" pivotButton="0" quotePrefix="0" xfId="0">
      <alignment horizontal="center" vertical="bottom"/>
    </xf>
    <xf numFmtId="0" fontId="4" fillId="3" borderId="5" applyAlignment="1" pivotButton="0" quotePrefix="0" xfId="0">
      <alignment horizontal="center" vertical="bottom"/>
    </xf>
    <xf numFmtId="0" fontId="4" fillId="3" borderId="6" applyAlignment="1" pivotButton="0" quotePrefix="0" xfId="0">
      <alignment horizontal="center" vertical="bottom"/>
    </xf>
    <xf numFmtId="0" fontId="4" fillId="3" borderId="7" applyAlignment="1" pivotButton="0" quotePrefix="0" xfId="0">
      <alignment horizontal="center"/>
    </xf>
    <xf numFmtId="1" fontId="2" fillId="0" borderId="1" pivotButton="0" quotePrefix="0" xfId="0"/>
    <xf numFmtId="0" fontId="2" fillId="0" borderId="8" applyAlignment="1" pivotButton="0" quotePrefix="0" xfId="0">
      <alignment horizontal="center" vertical="bottom"/>
    </xf>
    <xf numFmtId="164" fontId="6" fillId="4" borderId="9" applyAlignment="1" pivotButton="0" quotePrefix="0" xfId="0">
      <alignment horizontal="center" vertical="bottom"/>
    </xf>
    <xf numFmtId="1" fontId="2" fillId="0" borderId="10" applyAlignment="1" pivotButton="0" quotePrefix="0" xfId="0">
      <alignment horizontal="center" vertical="bottom"/>
    </xf>
    <xf numFmtId="1" fontId="2" fillId="0" borderId="11" applyAlignment="1" pivotButton="0" quotePrefix="0" xfId="0">
      <alignment horizontal="center" vertical="bottom"/>
    </xf>
    <xf numFmtId="1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 vertical="bottom"/>
    </xf>
    <xf numFmtId="0" fontId="2" fillId="0" borderId="1" applyAlignment="1" pivotButton="0" quotePrefix="0" xfId="0">
      <alignment vertical="center" wrapText="1"/>
    </xf>
    <xf numFmtId="164" fontId="2" fillId="4" borderId="14" applyAlignment="1" pivotButton="0" quotePrefix="0" xfId="0">
      <alignment horizontal="center" vertical="bottom"/>
    </xf>
    <xf numFmtId="164" fontId="2" fillId="4" borderId="15" applyAlignment="1" pivotButton="0" quotePrefix="0" xfId="0">
      <alignment horizontal="center" vertical="bottom"/>
    </xf>
    <xf numFmtId="164" fontId="2" fillId="4" borderId="16" applyAlignment="1" pivotButton="0" quotePrefix="0" xfId="0">
      <alignment horizontal="center" vertical="bottom"/>
    </xf>
    <xf numFmtId="1" fontId="2" fillId="4" borderId="14" applyAlignment="1" pivotButton="0" quotePrefix="0" xfId="0">
      <alignment horizontal="center" vertical="bottom"/>
    </xf>
    <xf numFmtId="1" fontId="2" fillId="4" borderId="15" applyAlignment="1" pivotButton="0" quotePrefix="0" xfId="0">
      <alignment horizontal="center" vertical="bottom"/>
    </xf>
    <xf numFmtId="1" fontId="2" fillId="4" borderId="16" applyAlignment="1" pivotButton="0" quotePrefix="0" xfId="0">
      <alignment horizontal="center" vertical="bottom"/>
    </xf>
    <xf numFmtId="0" fontId="7" fillId="0" borderId="1" pivotButton="0" quotePrefix="0" xfId="0"/>
    <xf numFmtId="0" fontId="4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17" applyAlignment="1" pivotButton="0" quotePrefix="0" xfId="0">
      <alignment horizontal="center" vertical="bottom"/>
    </xf>
    <xf numFmtId="1" fontId="2" fillId="4" borderId="18" applyAlignment="1" pivotButton="0" quotePrefix="0" xfId="0">
      <alignment horizontal="center" vertical="bottom"/>
    </xf>
    <xf numFmtId="1" fontId="2" fillId="4" borderId="11" applyAlignment="1" pivotButton="0" quotePrefix="0" xfId="0">
      <alignment horizontal="center" vertical="bottom"/>
    </xf>
    <xf numFmtId="1" fontId="2" fillId="4" borderId="19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1" fontId="2" fillId="0" borderId="3" applyAlignment="1" pivotButton="0" quotePrefix="0" xfId="0">
      <alignment horizontal="center" vertical="bottom"/>
    </xf>
    <xf numFmtId="1" fontId="2" fillId="0" borderId="4" applyAlignment="1" pivotButton="0" quotePrefix="0" xfId="0">
      <alignment horizontal="center" vertical="bottom"/>
    </xf>
    <xf numFmtId="1" fontId="2" fillId="0" borderId="5" applyAlignment="1" pivotButton="0" quotePrefix="0" xfId="0">
      <alignment horizontal="center" vertical="bottom"/>
    </xf>
    <xf numFmtId="1" fontId="2" fillId="5" borderId="6" applyAlignment="1" pivotButton="0" quotePrefix="0" xfId="0">
      <alignment horizontal="center" vertical="bottom"/>
    </xf>
    <xf numFmtId="1" fontId="2" fillId="5" borderId="4" applyAlignment="1" pivotButton="0" quotePrefix="0" xfId="0">
      <alignment horizontal="center" vertical="bottom"/>
    </xf>
    <xf numFmtId="10" fontId="2" fillId="5" borderId="7" applyAlignment="1" pivotButton="0" quotePrefix="0" xfId="0">
      <alignment horizontal="center"/>
    </xf>
    <xf numFmtId="0" fontId="7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 wrapText="1"/>
    </xf>
    <xf numFmtId="0" fontId="4" fillId="3" borderId="15" applyAlignment="1" pivotButton="0" quotePrefix="0" xfId="0">
      <alignment horizontal="center" vertical="bottom"/>
    </xf>
    <xf numFmtId="1" fontId="2" fillId="0" borderId="15" applyAlignment="1" pivotButton="0" quotePrefix="0" xfId="0">
      <alignment horizontal="center" vertical="bottom"/>
    </xf>
    <xf numFmtId="0" fontId="2" fillId="0" borderId="15" applyAlignment="1" pivotButton="0" quotePrefix="0" xfId="0">
      <alignment horizontal="center"/>
    </xf>
    <xf numFmtId="0" fontId="4" fillId="0" borderId="1" applyAlignment="1" pivotButton="0" quotePrefix="0" xfId="0">
      <alignment horizontal="center" vertical="bottom"/>
    </xf>
    <xf numFmtId="10" fontId="4" fillId="3" borderId="15" applyAlignment="1" pivotButton="0" quotePrefix="0" xfId="0">
      <alignment horizontal="center" vertical="bottom"/>
    </xf>
    <xf numFmtId="0" fontId="4" fillId="3" borderId="15" applyAlignment="1" pivotButton="0" quotePrefix="0" xfId="0">
      <alignment horizontal="center"/>
    </xf>
    <xf numFmtId="0" fontId="2" fillId="0" borderId="1" applyAlignment="1" pivotButton="0" quotePrefix="0" xfId="0">
      <alignment horizontal="center" vertical="bottom"/>
    </xf>
    <xf numFmtId="0" fontId="2" fillId="0" borderId="15" applyAlignment="1" pivotButton="0" quotePrefix="0" xfId="0">
      <alignment horizontal="center" vertical="bottom" wrapText="1"/>
    </xf>
    <xf numFmtId="4" fontId="2" fillId="0" borderId="15" applyAlignment="1" pivotButton="0" quotePrefix="0" xfId="0">
      <alignment horizontal="center" vertical="bottom"/>
    </xf>
    <xf numFmtId="165" fontId="2" fillId="0" borderId="20" applyAlignment="1" pivotButton="0" quotePrefix="0" xfId="0">
      <alignment horizontal="center" vertical="bottom"/>
    </xf>
    <xf numFmtId="165" fontId="2" fillId="0" borderId="15" applyAlignment="1" pivotButton="0" quotePrefix="0" xfId="0">
      <alignment horizontal="center" vertical="bottom"/>
    </xf>
    <xf numFmtId="165" fontId="2" fillId="6" borderId="15" applyAlignment="1" pivotButton="0" quotePrefix="0" xfId="0">
      <alignment horizontal="center" vertical="bottom"/>
    </xf>
    <xf numFmtId="166" fontId="4" fillId="3" borderId="15" applyAlignment="1" pivotButton="0" quotePrefix="0" xfId="0">
      <alignment horizontal="center" vertical="bottom"/>
    </xf>
    <xf numFmtId="166" fontId="4" fillId="3" borderId="15" applyAlignment="1" pivotButton="0" quotePrefix="0" xfId="0">
      <alignment horizontal="center"/>
    </xf>
    <xf numFmtId="1" fontId="2" fillId="0" borderId="15" applyAlignment="1" pivotButton="0" quotePrefix="0" xfId="0">
      <alignment horizontal="center"/>
    </xf>
    <xf numFmtId="1" fontId="2" fillId="4" borderId="15" applyAlignment="1" pivotButton="0" quotePrefix="0" xfId="0">
      <alignment horizontal="center"/>
    </xf>
    <xf numFmtId="0" fontId="2" fillId="0" borderId="15" applyAlignment="1" pivotButton="0" quotePrefix="0" xfId="0">
      <alignment horizontal="center" vertical="bottom"/>
    </xf>
    <xf numFmtId="166" fontId="2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2" fillId="0" borderId="21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167" fontId="2" fillId="0" borderId="21" applyAlignment="1" pivotButton="0" quotePrefix="0" xfId="0">
      <alignment horizontal="center"/>
    </xf>
    <xf numFmtId="10" fontId="2" fillId="0" borderId="15" applyAlignment="1" pivotButton="0" quotePrefix="0" xfId="0">
      <alignment horizontal="center"/>
    </xf>
    <xf numFmtId="1" fontId="2" fillId="0" borderId="22" applyAlignment="1" pivotButton="0" quotePrefix="0" xfId="0">
      <alignment horizontal="center"/>
    </xf>
    <xf numFmtId="1" fontId="2" fillId="0" borderId="21" applyAlignment="1" pivotButton="0" quotePrefix="0" xfId="0">
      <alignment horizontal="center" vertical="bottom"/>
    </xf>
    <xf numFmtId="167" fontId="2" fillId="0" borderId="20" applyAlignment="1" pivotButton="0" quotePrefix="0" xfId="0">
      <alignment horizontal="center" vertical="bottom"/>
    </xf>
    <xf numFmtId="0" fontId="2" fillId="0" borderId="20" applyAlignment="1" pivotButton="0" quotePrefix="0" xfId="0">
      <alignment horizontal="center"/>
    </xf>
    <xf numFmtId="1" fontId="2" fillId="0" borderId="23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7" fontId="2" fillId="0" borderId="23" applyAlignment="1" pivotButton="0" quotePrefix="0" xfId="0">
      <alignment horizontal="center"/>
    </xf>
    <xf numFmtId="0" fontId="2" fillId="0" borderId="15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/>
      </fill>
      <border/>
    </dxf>
    <dxf>
      <font/>
      <fill>
        <patternFill patternType="solid">
          <fgColor rgb="FFFCE5CD"/>
          <bgColor rgb="FFFCE5CD"/>
        </patternFill>
      </fill>
      <border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27.38" customWidth="1" min="1" max="1"/>
    <col width="1.13" customWidth="1" min="2" max="2"/>
    <col width="12.75" customWidth="1" min="3" max="3"/>
    <col width="12.13" customWidth="1" min="12" max="12"/>
  </cols>
  <sheetData>
    <row r="1" ht="30.75" customHeight="1">
      <c r="A1" s="1" t="inlineStr">
        <is>
          <t>Template For Wet Abrasion Outlier Analysis</t>
        </is>
      </c>
    </row>
    <row r="2" ht="6" customHeight="1">
      <c r="A2" s="2" t="n"/>
    </row>
    <row r="3" ht="15.75" customHeight="1">
      <c r="A3" s="3" t="inlineStr">
        <is>
          <t>Instructions</t>
        </is>
      </c>
      <c r="B3" s="4" t="n"/>
      <c r="C3" s="5" t="n"/>
      <c r="D3" s="6" t="n"/>
      <c r="L3" s="5" t="n"/>
    </row>
    <row r="4" ht="15.75" customHeight="1"/>
    <row r="5" ht="15.75" customHeight="1">
      <c r="A5" s="7" t="inlineStr">
        <is>
          <t xml:space="preserve">1. Paste the cell averages for each set (up to 8) into the grey cells in the table to the right. </t>
        </is>
      </c>
      <c r="C5" s="8" t="n"/>
      <c r="D5" s="9" t="inlineStr">
        <is>
          <t>Film</t>
        </is>
      </c>
      <c r="E5" s="10" t="inlineStr">
        <is>
          <t>BL</t>
        </is>
      </c>
      <c r="F5" s="11" t="inlineStr">
        <is>
          <t>BR</t>
        </is>
      </c>
      <c r="G5" s="11" t="inlineStr">
        <is>
          <t>FL</t>
        </is>
      </c>
      <c r="H5" s="12" t="inlineStr">
        <is>
          <t>FR</t>
        </is>
      </c>
      <c r="I5" s="13" t="inlineStr">
        <is>
          <t>Average</t>
        </is>
      </c>
      <c r="J5" s="11" t="inlineStr">
        <is>
          <t xml:space="preserve">STDEV </t>
        </is>
      </c>
      <c r="K5" s="14" t="inlineStr">
        <is>
          <t>%STDEV</t>
        </is>
      </c>
      <c r="L5" s="5" t="n"/>
    </row>
    <row r="6" ht="15.75" customHeight="1">
      <c r="C6" s="15" t="n"/>
      <c r="D6" s="16" t="inlineStr">
        <is>
          <t>Set 1</t>
        </is>
      </c>
      <c r="E6" s="17" t="n"/>
      <c r="F6" s="17" t="n"/>
      <c r="G6" s="17" t="n"/>
      <c r="H6" s="17" t="n"/>
      <c r="I6" s="18">
        <f>IFERROR(Average(E6:H6),"")</f>
        <v/>
      </c>
      <c r="J6" s="19">
        <f>IFERROR(stdev(E6:H6),"")</f>
        <v/>
      </c>
      <c r="K6" s="20">
        <f>IFERROR(J6/I6,"")</f>
        <v/>
      </c>
      <c r="L6" s="5" t="n"/>
    </row>
    <row r="7" ht="15.75" customHeight="1">
      <c r="C7" s="15" t="n"/>
      <c r="D7" s="21" t="inlineStr">
        <is>
          <t>Set 2</t>
        </is>
      </c>
      <c r="E7" s="17" t="n"/>
      <c r="F7" s="17" t="n"/>
      <c r="G7" s="17" t="n"/>
      <c r="H7" s="17" t="n"/>
      <c r="I7" s="18">
        <f>IFERROR(Average(E7:H7),"")</f>
        <v/>
      </c>
      <c r="J7" s="19">
        <f>IFERROR(stdev(E7:H7),"")</f>
        <v/>
      </c>
      <c r="K7" s="20">
        <f>IFERROR(J7/I7,"")</f>
        <v/>
      </c>
      <c r="L7" s="5" t="n"/>
    </row>
    <row r="8" ht="15.75" customHeight="1">
      <c r="A8" s="22" t="inlineStr">
        <is>
          <t xml:space="preserve">a) The averages, standard deviations, and outlier calculations will all be done automatically with potential outliers indicated by conditional formatting. </t>
        </is>
      </c>
      <c r="C8" s="8" t="n"/>
      <c r="D8" s="21" t="inlineStr">
        <is>
          <t>Set 3</t>
        </is>
      </c>
      <c r="E8" s="17" t="n"/>
      <c r="F8" s="17" t="n"/>
      <c r="G8" s="17" t="n"/>
      <c r="H8" s="17" t="n"/>
      <c r="I8" s="18">
        <f>IFERROR(Average(E8:H8),"")</f>
        <v/>
      </c>
      <c r="J8" s="19">
        <f>IFERROR(stdev(E8:H8),"")</f>
        <v/>
      </c>
      <c r="K8" s="20">
        <f>IFERROR(J8/I8,"")</f>
        <v/>
      </c>
      <c r="L8" s="5" t="n"/>
    </row>
    <row r="9" ht="15.75" customHeight="1">
      <c r="D9" s="21" t="inlineStr">
        <is>
          <t>Set 4</t>
        </is>
      </c>
      <c r="E9" s="23" t="n"/>
      <c r="F9" s="24" t="n"/>
      <c r="G9" s="24" t="n"/>
      <c r="H9" s="25" t="n"/>
      <c r="I9" s="18">
        <f>IFERROR(Average(E9:H9),"")</f>
        <v/>
      </c>
      <c r="J9" s="19">
        <f>IFERROR(stdev(E9:H9),"")</f>
        <v/>
      </c>
      <c r="K9" s="20">
        <f>IFERROR(J9/I9,"")</f>
        <v/>
      </c>
      <c r="L9" s="5" t="n"/>
    </row>
    <row r="10" ht="15.75" customHeight="1">
      <c r="D10" s="21" t="inlineStr">
        <is>
          <t>Set 5</t>
        </is>
      </c>
      <c r="E10" s="26" t="n"/>
      <c r="F10" s="27" t="n"/>
      <c r="G10" s="27" t="n"/>
      <c r="H10" s="28" t="n"/>
      <c r="I10" s="18">
        <f>IFERROR(Average(E10:H10),"")</f>
        <v/>
      </c>
      <c r="J10" s="19">
        <f>IFERROR(stdev(E10:H10),"")</f>
        <v/>
      </c>
      <c r="K10" s="20">
        <f>IFERROR(J10/I10,"")</f>
        <v/>
      </c>
    </row>
    <row r="11" ht="15.75" customHeight="1">
      <c r="C11" s="29" t="n"/>
      <c r="D11" s="21" t="inlineStr">
        <is>
          <t>Set 6</t>
        </is>
      </c>
      <c r="E11" s="26" t="n"/>
      <c r="F11" s="27" t="n"/>
      <c r="G11" s="27" t="n"/>
      <c r="H11" s="28" t="n"/>
      <c r="I11" s="18">
        <f>IFERROR(Average(E11:H11),"")</f>
        <v/>
      </c>
      <c r="J11" s="19">
        <f>IFERROR(stdev(E11:H11),"")</f>
        <v/>
      </c>
      <c r="K11" s="20">
        <f>IFERROR(J11/I11,"")</f>
        <v/>
      </c>
    </row>
    <row r="12" ht="15.75" customHeight="1">
      <c r="C12" s="30" t="n"/>
      <c r="D12" s="21" t="inlineStr">
        <is>
          <t>Set 7</t>
        </is>
      </c>
      <c r="E12" s="26" t="n"/>
      <c r="F12" s="27" t="n"/>
      <c r="G12" s="27" t="n"/>
      <c r="H12" s="28" t="n"/>
      <c r="I12" s="18">
        <f>IFERROR(Average(E12:H12),"")</f>
        <v/>
      </c>
      <c r="J12" s="19">
        <f>IFERROR(stdev(E12:H12),"")</f>
        <v/>
      </c>
      <c r="K12" s="20">
        <f>IFERROR(J12/I12,"")</f>
        <v/>
      </c>
    </row>
    <row r="13" ht="15.75" customHeight="1">
      <c r="A13" s="7" t="inlineStr">
        <is>
          <t xml:space="preserve">b) Set averages which differ from the total average by 10,000 and standard deviations above 35% will be highlighted in orange to indicate a potential issue with the set.  </t>
        </is>
      </c>
      <c r="C13" s="31" t="n"/>
      <c r="D13" s="32" t="inlineStr">
        <is>
          <t>Set 8</t>
        </is>
      </c>
      <c r="E13" s="33" t="n"/>
      <c r="F13" s="34" t="n"/>
      <c r="G13" s="34" t="n"/>
      <c r="H13" s="35" t="n"/>
      <c r="I13" s="18">
        <f>IFERROR(Average(E13:H13),"")</f>
        <v/>
      </c>
      <c r="J13" s="19">
        <f>IFERROR(stdev(E13:H13),"")</f>
        <v/>
      </c>
      <c r="K13" s="20">
        <f>IFERROR(J13/I13,"")</f>
        <v/>
      </c>
    </row>
    <row r="14" ht="15.75" customHeight="1">
      <c r="D14" s="36" t="inlineStr">
        <is>
          <t>Average</t>
        </is>
      </c>
      <c r="E14" s="37">
        <f>Average(E6:E13)</f>
        <v/>
      </c>
      <c r="F14" s="38">
        <f>Average(F6:F13)</f>
        <v/>
      </c>
      <c r="G14" s="38">
        <f>Average(G6:G13)</f>
        <v/>
      </c>
      <c r="H14" s="39">
        <f>Average(H6:H13)</f>
        <v/>
      </c>
      <c r="I14" s="40">
        <f>Average(E6:H13)</f>
        <v/>
      </c>
      <c r="J14" s="41">
        <f>stdev(E6:H13)</f>
        <v/>
      </c>
      <c r="K14" s="42">
        <f>J14/I14</f>
        <v/>
      </c>
    </row>
    <row r="15" ht="15.75" customHeight="1"/>
    <row r="16" ht="15.75" customHeight="1">
      <c r="C16" s="43" t="n"/>
    </row>
    <row r="17" ht="15.75" customHeight="1">
      <c r="C17" s="30" t="n"/>
      <c r="D17" s="29" t="inlineStr">
        <is>
          <t>Interquartile Limits</t>
        </is>
      </c>
    </row>
    <row r="18" ht="15.75" customHeight="1">
      <c r="A18" s="22" t="inlineStr">
        <is>
          <t xml:space="preserve">c) Cell averages which are larger or smaller than the limits determined using the 1.5 interquartile range (in the second table) will be highlighted in red and green, respectively. </t>
        </is>
      </c>
      <c r="C18" s="44" t="n"/>
      <c r="D18" s="45" t="inlineStr">
        <is>
          <t>Median</t>
        </is>
      </c>
      <c r="E18" s="45" t="inlineStr">
        <is>
          <t>Q1</t>
        </is>
      </c>
      <c r="F18" s="45" t="inlineStr">
        <is>
          <t>Q3</t>
        </is>
      </c>
      <c r="G18" s="45" t="inlineStr">
        <is>
          <t xml:space="preserve">1.5 IQR </t>
        </is>
      </c>
      <c r="H18" s="45" t="inlineStr">
        <is>
          <t>Q1 - 1.5 IQR</t>
        </is>
      </c>
      <c r="I18" s="45" t="inlineStr">
        <is>
          <t>Q3 + 1.5 IQR</t>
        </is>
      </c>
    </row>
    <row r="19" ht="15.75" customHeight="1">
      <c r="C19" s="44" t="n"/>
      <c r="D19" s="46">
        <f>median(E6:H13)</f>
        <v/>
      </c>
      <c r="E19" s="46">
        <f>quartile(E6:H13,1)</f>
        <v/>
      </c>
      <c r="F19" s="46">
        <f>quartile(E6:H13,3)</f>
        <v/>
      </c>
      <c r="G19" s="47">
        <f>F19-E19</f>
        <v/>
      </c>
      <c r="H19" s="46">
        <f>E19-G19</f>
        <v/>
      </c>
      <c r="I19" s="47">
        <f>F19+G19</f>
        <v/>
      </c>
    </row>
    <row r="20" ht="15.75" customHeight="1"/>
    <row r="21" ht="15.75" customHeight="1"/>
    <row r="22" ht="15.75" customHeight="1">
      <c r="C22" s="43" t="n"/>
      <c r="D22" s="43" t="inlineStr">
        <is>
          <t>Z Score</t>
        </is>
      </c>
      <c r="E22" s="31" t="n"/>
      <c r="F22" s="31" t="n"/>
      <c r="G22" s="31" t="n"/>
      <c r="H22" s="31" t="n"/>
      <c r="I22" s="43" t="n"/>
    </row>
    <row r="23" ht="15.75" customHeight="1">
      <c r="A23" s="22" t="inlineStr">
        <is>
          <t>d) In the Z score table, cells whose score is larger or smaller than the threshold values (for 95% confidence) will be highlighted in red and green, respectively.</t>
        </is>
      </c>
      <c r="C23" s="48" t="n"/>
      <c r="D23" s="45" t="inlineStr">
        <is>
          <t>Film</t>
        </is>
      </c>
      <c r="E23" s="49" t="inlineStr">
        <is>
          <t>BL</t>
        </is>
      </c>
      <c r="F23" s="45" t="inlineStr">
        <is>
          <t>BR</t>
        </is>
      </c>
      <c r="G23" s="45" t="inlineStr">
        <is>
          <t>FL</t>
        </is>
      </c>
      <c r="H23" s="45" t="inlineStr">
        <is>
          <t>FR</t>
        </is>
      </c>
      <c r="I23" s="45" t="inlineStr">
        <is>
          <t>Average</t>
        </is>
      </c>
      <c r="K23" s="50" t="inlineStr">
        <is>
          <t>Thresholds</t>
        </is>
      </c>
    </row>
    <row r="24" ht="15.75" customHeight="1">
      <c r="C24" s="51" t="n"/>
      <c r="D24" s="52" t="inlineStr">
        <is>
          <t>Set 1</t>
        </is>
      </c>
      <c r="E24" s="53">
        <f>if(not(isblank(E6)),(E6-$I$14)/$J$14,"-")</f>
        <v/>
      </c>
      <c r="F24" s="53">
        <f>if(not(isblank(F6)),(F6-$I$14)/$J$14,"-")</f>
        <v/>
      </c>
      <c r="G24" s="53">
        <f>if(not(isblank(G6)),(G6-$I$14)/$J$14,"-")</f>
        <v/>
      </c>
      <c r="H24" s="53">
        <f>if(not(isblank(H6)),(H6-$I$14)/$J$14,"-")</f>
        <v/>
      </c>
      <c r="I24" s="54">
        <f>if(not(isblank(I6)),(I6-$I$14)/($J$14/sqrt(count(E6:H6))),"-")</f>
        <v/>
      </c>
      <c r="K24" s="47" t="n">
        <v>1.96</v>
      </c>
    </row>
    <row r="25" ht="15.75" customHeight="1">
      <c r="D25" s="52" t="inlineStr">
        <is>
          <t>Set 2</t>
        </is>
      </c>
      <c r="E25" s="53">
        <f>if(not(isblank(E7)),(E7-$I$14)/$J$14,"-")</f>
        <v/>
      </c>
      <c r="F25" s="53">
        <f>if(not(isblank(F7)),(F7-$I$14)/$J$14,"-")</f>
        <v/>
      </c>
      <c r="G25" s="53">
        <f>if(not(isblank(G7)),(G7-$I$14)/$J$14,"-")</f>
        <v/>
      </c>
      <c r="H25" s="53">
        <f>if(not(isblank(H7)),(H7-$I$14)/$J$14,"-")</f>
        <v/>
      </c>
      <c r="I25" s="55">
        <f>if(not(isblank(I7)),(I7-$I$14)/($J$14/sqrt(count(E7:H7))),"-")</f>
        <v/>
      </c>
      <c r="K25" s="47" t="n">
        <v>-1.96</v>
      </c>
    </row>
    <row r="26" ht="15.75" customHeight="1">
      <c r="C26" s="5" t="n"/>
      <c r="D26" s="47" t="inlineStr">
        <is>
          <t>Set 3</t>
        </is>
      </c>
      <c r="E26" s="53">
        <f>if(not(isblank(E8)),(E8-$I$14)/$J$14,"-")</f>
        <v/>
      </c>
      <c r="F26" s="53">
        <f>if(not(isblank(F8)),(F8-$I$14)/$J$14,"-")</f>
        <v/>
      </c>
      <c r="G26" s="53">
        <f>if(not(isblank(G8)),(G8-$I$14)/$J$14,"-")</f>
        <v/>
      </c>
      <c r="H26" s="53">
        <f>if(not(isblank(H8)),(H8-$I$14)/$J$14,"-")</f>
        <v/>
      </c>
      <c r="I26" s="55">
        <f>if(not(isblank(I8)),(I8-$I$14)/($J$14/sqrt(count(E8:H8))),"-")</f>
        <v/>
      </c>
    </row>
    <row r="27" ht="15.75" customHeight="1">
      <c r="C27" s="5" t="n"/>
      <c r="D27" s="47" t="inlineStr">
        <is>
          <t>Set 4</t>
        </is>
      </c>
      <c r="E27" s="53">
        <f>if(not(isblank(E9)),(E9-$I$14)/$J$14,"-")</f>
        <v/>
      </c>
      <c r="F27" s="53">
        <f>if(not(isblank(F9)),(F9-$I$14)/$J$14,"-")</f>
        <v/>
      </c>
      <c r="G27" s="53">
        <f>if(not(isblank(G9)),(G9-$I$14)/$J$14,"-")</f>
        <v/>
      </c>
      <c r="H27" s="53">
        <f>if(not(isblank(H9)),(H9-$I$14)/$J$14,"-")</f>
        <v/>
      </c>
      <c r="I27" s="56">
        <f>if(not(isblank(I9)),(I9-$I$14)/($J$14/sqrt(count(E9:H9))),"-")</f>
        <v/>
      </c>
    </row>
    <row r="28" ht="15.75" customHeight="1">
      <c r="A28" s="7" t="inlineStr">
        <is>
          <t xml:space="preserve">2. Adjust the bin size in the histogram table by typing into the grey cell until the resulting graph is a good presentation of the data. </t>
        </is>
      </c>
      <c r="C28" s="15" t="n"/>
      <c r="D28" s="47" t="inlineStr">
        <is>
          <t>Set 5</t>
        </is>
      </c>
      <c r="E28" s="53">
        <f>if(not(isblank(E10)),(E10-$I$14)/$J$14,"-")</f>
        <v/>
      </c>
      <c r="F28" s="53">
        <f>if(not(isblank(F10)),(F10-$I$14)/$J$14,"-")</f>
        <v/>
      </c>
      <c r="G28" s="53">
        <f>if(not(isblank(G10)),(G10-$I$14)/$J$14,"-")</f>
        <v/>
      </c>
      <c r="H28" s="53">
        <f>if(not(isblank(H10)),(H10-$I$14)/$J$14,"-")</f>
        <v/>
      </c>
      <c r="I28" s="56">
        <f>if(not(isblank(I10)),(I10-$I$14)/($J$14/sqrt(count(E10:H10))),"-")</f>
        <v/>
      </c>
    </row>
    <row r="29" ht="15.75" customHeight="1">
      <c r="C29" s="15" t="n"/>
      <c r="D29" s="47" t="inlineStr">
        <is>
          <t>Set 6</t>
        </is>
      </c>
      <c r="E29" s="53">
        <f>if(not(isblank(E11)),(E11-$I$14)/$J$14,"-")</f>
        <v/>
      </c>
      <c r="F29" s="53">
        <f>if(not(isblank(F11)),(F11-$I$14)/$J$14,"-")</f>
        <v/>
      </c>
      <c r="G29" s="53">
        <f>if(not(isblank(G11)),(G11-$I$14)/$J$14,"-")</f>
        <v/>
      </c>
      <c r="H29" s="53">
        <f>if(not(isblank(H11)),(H11-$I$14)/$J$14,"-")</f>
        <v/>
      </c>
      <c r="I29" s="56">
        <f>if(not(isblank(I11)),(I11-$I$14)/($J$14/sqrt(count(E11:H11))),"-")</f>
        <v/>
      </c>
    </row>
    <row r="30" ht="15.75" customHeight="1">
      <c r="C30" s="15" t="n"/>
      <c r="D30" s="47" t="inlineStr">
        <is>
          <t>Set 7</t>
        </is>
      </c>
      <c r="E30" s="53">
        <f>if(not(isblank(E12)),(E12-$I$14)/$J$14,"-")</f>
        <v/>
      </c>
      <c r="F30" s="53">
        <f>if(not(isblank(F12)),(F12-$I$14)/$J$14,"-")</f>
        <v/>
      </c>
      <c r="G30" s="53">
        <f>if(not(isblank(G12)),(G12-$I$14)/$J$14,"-")</f>
        <v/>
      </c>
      <c r="H30" s="53">
        <f>if(not(isblank(H12)),(H12-$I$14)/$J$14,"-")</f>
        <v/>
      </c>
      <c r="I30" s="56">
        <f>if(not(isblank(I12)),(I12-$I$14)/($J$14/sqrt(count(E12:H12))),"-")</f>
        <v/>
      </c>
    </row>
    <row r="31" ht="15.75" customHeight="1">
      <c r="C31" s="15" t="n"/>
      <c r="D31" s="47" t="inlineStr">
        <is>
          <t>Set 8</t>
        </is>
      </c>
      <c r="E31" s="53">
        <f>if(not(isblank(E13)),(E13-$I$14)/$J$14,"-")</f>
        <v/>
      </c>
      <c r="F31" s="53">
        <f>if(not(isblank(F13)),(F13-$I$14)/$J$14,"-")</f>
        <v/>
      </c>
      <c r="G31" s="53">
        <f>if(not(isblank(G13)),(G13-$I$14)/$J$14,"-")</f>
        <v/>
      </c>
      <c r="H31" s="53">
        <f>if(not(isblank(H13)),(H13-$I$14)/$J$14,"-")</f>
        <v/>
      </c>
      <c r="I31" s="56">
        <f>if(not(isblank(I13)),(I13-$I$14)/($J$14/sqrt(count(E13:H13))),"-")</f>
        <v/>
      </c>
    </row>
    <row r="32" ht="15.75" customHeight="1">
      <c r="A32" s="7" t="inlineStr">
        <is>
          <t xml:space="preserve">a) A recommended bin size starting point is calculated in the cell next to the bin size.  </t>
        </is>
      </c>
      <c r="C32" s="15" t="n"/>
    </row>
    <row r="33" ht="15.75" customHeight="1">
      <c r="C33" s="15" t="n"/>
    </row>
    <row r="34" ht="15.75" customHeight="1">
      <c r="C34" s="15" t="n"/>
      <c r="D34" s="43" t="inlineStr">
        <is>
          <t>Histogram</t>
        </is>
      </c>
      <c r="G34" s="43" t="n"/>
      <c r="H34" s="31" t="n"/>
    </row>
    <row r="35" ht="15.75" customHeight="1">
      <c r="A35" s="7" t="inlineStr">
        <is>
          <t xml:space="preserve">b) The Chi Squared value gives the likelihood of the data fitting the normal curve. </t>
        </is>
      </c>
      <c r="C35" s="15" t="n"/>
      <c r="D35" s="45" t="inlineStr">
        <is>
          <t>Max</t>
        </is>
      </c>
      <c r="E35" s="57" t="inlineStr">
        <is>
          <t>Min</t>
        </is>
      </c>
      <c r="F35" s="57" t="inlineStr">
        <is>
          <t>Range</t>
        </is>
      </c>
      <c r="G35" s="58" t="inlineStr">
        <is>
          <t>Count</t>
        </is>
      </c>
      <c r="H35" s="58" t="inlineStr">
        <is>
          <t>Bin Size</t>
        </is>
      </c>
      <c r="I35" s="50" t="inlineStr">
        <is>
          <t>Rec. Bin Size</t>
        </is>
      </c>
      <c r="J35" s="50" t="inlineStr">
        <is>
          <t>Start Bin</t>
        </is>
      </c>
    </row>
    <row r="36" ht="15.75" customHeight="1">
      <c r="C36" s="15" t="n"/>
      <c r="D36" s="46">
        <f>max(E6:H13)</f>
        <v/>
      </c>
      <c r="E36" s="46">
        <f>min(E6:H13)</f>
        <v/>
      </c>
      <c r="F36" s="46">
        <f>D36-E36</f>
        <v/>
      </c>
      <c r="G36" s="59">
        <f>count(D39:D70)</f>
        <v/>
      </c>
      <c r="H36" s="60" t="n">
        <v>4000</v>
      </c>
      <c r="I36" s="47">
        <f>rounddown(F36/7,-3)</f>
        <v/>
      </c>
      <c r="J36" s="61">
        <f>rounddown(H19-2*I36,-4)</f>
        <v/>
      </c>
    </row>
    <row r="37" ht="15.75" customHeight="1">
      <c r="C37" s="15" t="n"/>
      <c r="D37" s="5" t="n"/>
      <c r="E37" s="62" t="n"/>
      <c r="F37" s="62" t="n"/>
      <c r="G37" s="63" t="n"/>
      <c r="H37" s="64" t="n"/>
      <c r="I37" s="62" t="n"/>
    </row>
    <row r="38" ht="15.75" customHeight="1">
      <c r="A38" s="22" t="inlineStr">
        <is>
          <t xml:space="preserve">3. Remove outliers from the data set. </t>
        </is>
      </c>
      <c r="C38" s="15" t="n"/>
      <c r="D38" s="50" t="inlineStr">
        <is>
          <t>Original Data</t>
        </is>
      </c>
      <c r="E38" s="50" t="inlineStr">
        <is>
          <t>Bins</t>
        </is>
      </c>
      <c r="F38" s="50" t="inlineStr">
        <is>
          <t>Norm Dist.</t>
        </is>
      </c>
      <c r="G38" s="50" t="inlineStr">
        <is>
          <t>Histogram 1</t>
        </is>
      </c>
      <c r="H38" s="50" t="inlineStr">
        <is>
          <t>Histogram 2</t>
        </is>
      </c>
      <c r="I38" s="62" t="n"/>
      <c r="J38" s="50" t="inlineStr">
        <is>
          <t>Chi Squared</t>
        </is>
      </c>
      <c r="K38" s="15" t="n"/>
    </row>
    <row r="39" ht="15.75" customHeight="1">
      <c r="C39" s="15" t="n"/>
      <c r="D39" s="65">
        <f>E$6</f>
        <v/>
      </c>
      <c r="E39" s="66">
        <f>if(J36&lt;0,0,J36)</f>
        <v/>
      </c>
      <c r="F39" s="67">
        <f>($G$36*$H$36)*NORMDIST(E39,$I$14,$J$14,FALSE)</f>
        <v/>
      </c>
      <c r="G39" s="66">
        <f t="array" ref="G39">Frequency(D39:D70,E39:E70)</f>
        <v/>
      </c>
      <c r="H39" s="66">
        <f t="array" ref="H39">Frequency(D39:D70,E39:E70)</f>
        <v/>
      </c>
      <c r="J39" s="68">
        <f t="array" ref="J39">chitest(indirect(Template!HistDynamic),indirect(Template!NormDynamic))</f>
        <v/>
      </c>
    </row>
    <row r="40" ht="15.75" customHeight="1">
      <c r="A40" s="7" t="inlineStr">
        <is>
          <t xml:space="preserve">a) For individual cells which are flagged as outliers either by the IQR limits or Z score, remove them from the data table. </t>
        </is>
      </c>
      <c r="D40" s="65">
        <f>F6</f>
        <v/>
      </c>
      <c r="E40" s="66">
        <f>E39+$H$36</f>
        <v/>
      </c>
      <c r="F40" s="67">
        <f>($G$36*$H$36)*NORMDIST(E40,$I$14,$J$14,FALSE)</f>
        <v/>
      </c>
      <c r="G40" s="66" t="n"/>
      <c r="H40" s="66" t="n"/>
    </row>
    <row r="41" ht="15.75" customHeight="1">
      <c r="D41" s="65">
        <f>G6</f>
        <v/>
      </c>
      <c r="E41" s="66">
        <f>E40+$H$36</f>
        <v/>
      </c>
      <c r="F41" s="67">
        <f>($G$36*$H$36)*NORMDIST(E41,$I$14,$J$14,FALSE)</f>
        <v/>
      </c>
      <c r="G41" s="66" t="n"/>
      <c r="H41" s="66" t="n"/>
    </row>
    <row r="42" ht="15.75" customHeight="1">
      <c r="D42" s="65">
        <f>H6</f>
        <v/>
      </c>
      <c r="E42" s="66">
        <f>E41+$H$36</f>
        <v/>
      </c>
      <c r="F42" s="67">
        <f>($G$36*$H$36)*NORMDIST(E42,$I$14,$J$14,FALSE)</f>
        <v/>
      </c>
      <c r="G42" s="66" t="n"/>
      <c r="H42" s="66" t="n"/>
    </row>
    <row r="43" ht="15.75" customHeight="1">
      <c r="D43" s="65">
        <f>E7</f>
        <v/>
      </c>
      <c r="E43" s="66">
        <f>E42+$H$36</f>
        <v/>
      </c>
      <c r="F43" s="67">
        <f>($G$36*$H$36)*NORMDIST(E43,$I$14,$J$14,FALSE)</f>
        <v/>
      </c>
      <c r="G43" s="66" t="n"/>
      <c r="H43" s="66" t="n"/>
    </row>
    <row r="44" ht="15.75" customHeight="1">
      <c r="A44" s="7" t="inlineStr">
        <is>
          <t xml:space="preserve">b) For sets which are flagged as outliers by the Z score (after removing individual cell outliers), remove the entire set from the data table. </t>
        </is>
      </c>
      <c r="D44" s="69">
        <f>F7</f>
        <v/>
      </c>
      <c r="E44" s="70">
        <f>if(F43&lt;0.009,IFERROR(0/0,""),E43+$H$36)</f>
        <v/>
      </c>
      <c r="F44" s="71">
        <f>if(F43&lt;0.009,IFERROR(0/0,""),($G$36*$H$36)*NORMDIST(E44,$I$14,$J$14,FALSE))</f>
        <v/>
      </c>
      <c r="G44" s="72" t="n"/>
      <c r="H44" s="66" t="n"/>
    </row>
    <row r="45" ht="15.75" customHeight="1">
      <c r="D45" s="69">
        <f>G7</f>
        <v/>
      </c>
      <c r="E45" s="70">
        <f>if(F44&lt;0.009,IFERROR(0/0,""),E44+$H$36)</f>
        <v/>
      </c>
      <c r="F45" s="71">
        <f>if(F44&lt;0.009,IFERROR(0/0,""),($G$36*$H$36)*NORMDIST(E45,$I$14,$J$14,FALSE))</f>
        <v/>
      </c>
      <c r="G45" s="72" t="n"/>
      <c r="H45" s="66" t="n"/>
    </row>
    <row r="46" ht="15.75" customHeight="1">
      <c r="D46" s="69">
        <f>H7</f>
        <v/>
      </c>
      <c r="E46" s="70">
        <f>if(F45&lt;0.009,IFERROR(0/0,""),E45+$H$36)</f>
        <v/>
      </c>
      <c r="F46" s="71">
        <f>if(F45&lt;0.009,IFERROR(0/0,""),($G$36*$H$36)*NORMDIST(E46,$I$14,$J$14,FALSE))</f>
        <v/>
      </c>
      <c r="G46" s="72" t="n"/>
      <c r="H46" s="66" t="n"/>
    </row>
    <row r="47" ht="15.75" customHeight="1">
      <c r="D47" s="69">
        <f>E8</f>
        <v/>
      </c>
      <c r="E47" s="70">
        <f>if(F46&lt;0.009,IFERROR(0/0,""),E46+$H$36)</f>
        <v/>
      </c>
      <c r="F47" s="71">
        <f>if(F46&lt;0.009,IFERROR(0/0,""),($G$36*$H$36)*NORMDIST(E47,$I$14,$J$14,FALSE))</f>
        <v/>
      </c>
      <c r="G47" s="72" t="n"/>
      <c r="H47" s="66" t="n"/>
    </row>
    <row r="48" ht="15.75" customHeight="1">
      <c r="D48" s="69">
        <f>F8</f>
        <v/>
      </c>
      <c r="E48" s="70">
        <f>if(F47&lt;0.009,IFERROR(0/0,""),E47+$H$36)</f>
        <v/>
      </c>
      <c r="F48" s="71">
        <f>if(F47&lt;0.009,IFERROR(0/0,""),($G$36*$H$36)*NORMDIST(E48,$I$14,$J$14,FALSE))</f>
        <v/>
      </c>
      <c r="G48" s="72" t="n"/>
      <c r="H48" s="66" t="n"/>
    </row>
    <row r="49" ht="15.75" customHeight="1">
      <c r="A49" s="7" t="inlineStr">
        <is>
          <t xml:space="preserve">c) Use discretion, if cells or sets are flagged as outliers but seem okay based on the histogram and your personal judgement then keep them. </t>
        </is>
      </c>
      <c r="D49" s="65">
        <f>G8</f>
        <v/>
      </c>
      <c r="E49" s="66">
        <f>if(F48&lt;0.009,IFERROR(0/0,""),E48+$H$36)</f>
        <v/>
      </c>
      <c r="F49" s="67">
        <f>if(F48&lt;0.009,IFERROR(0/0,""),($G$36*$H$36)*NORMDIST(E49,$I$14,$J$14,FALSE))</f>
        <v/>
      </c>
      <c r="G49" s="66" t="n"/>
      <c r="H49" s="66" t="n"/>
    </row>
    <row r="50" ht="15.75" customHeight="1">
      <c r="D50" s="65">
        <f>H8</f>
        <v/>
      </c>
      <c r="E50" s="66">
        <f>if(F49&lt;0.009,IFERROR(0/0,""),E49+$H$36)</f>
        <v/>
      </c>
      <c r="F50" s="67">
        <f>if(F49&lt;0.009,IFERROR(0/0,""),($G$36*$H$36)*NORMDIST(E50,$I$14,$J$14,FALSE))</f>
        <v/>
      </c>
      <c r="G50" s="66" t="n"/>
      <c r="H50" s="66" t="n"/>
    </row>
    <row r="51" ht="15.75" customHeight="1">
      <c r="D51" s="70">
        <f>E9</f>
        <v/>
      </c>
      <c r="E51" s="66">
        <f>if(F50&lt;0.009,IFERROR(0/0,""),E50+$H$36)</f>
        <v/>
      </c>
      <c r="F51" s="67">
        <f>if(F50&lt;0.009,IFERROR(0/0,""),($G$36*$H$36)*NORMDIST(E51,$I$14,$J$14,FALSE))</f>
        <v/>
      </c>
      <c r="G51" s="66" t="n"/>
      <c r="H51" s="66" t="n"/>
    </row>
    <row r="52" ht="15.75" customHeight="1">
      <c r="D52" s="70">
        <f>F9</f>
        <v/>
      </c>
      <c r="E52" s="66">
        <f>if(F51&lt;0.009,IFERROR(0/0,""),E51+$H$36)</f>
        <v/>
      </c>
      <c r="F52" s="67">
        <f>if(F51&lt;0.009,IFERROR(0/0,""),($G$36*$H$36)*NORMDIST(E52,$I$14,$J$14,FALSE))</f>
        <v/>
      </c>
      <c r="G52" s="66" t="n"/>
      <c r="H52" s="66" t="n"/>
    </row>
    <row r="53" ht="15.75" customHeight="1">
      <c r="D53" s="70">
        <f>G9</f>
        <v/>
      </c>
      <c r="E53" s="66">
        <f>if(F52&lt;0.009,IFERROR(0/0,""),E52+$H$36)</f>
        <v/>
      </c>
      <c r="F53" s="67">
        <f>if(F52&lt;0.009,IFERROR(0/0,""),($G$36*$H$36)*NORMDIST(E53,$I$14,$J$14,FALSE))</f>
        <v/>
      </c>
      <c r="G53" s="66" t="n"/>
      <c r="H53" s="66" t="n"/>
    </row>
    <row r="54" ht="15.75" customHeight="1">
      <c r="A54" s="7" t="inlineStr">
        <is>
          <t xml:space="preserve">4. Once outliers are removed, look through the tables and histogram, if the distribution still seems bad or there are new outliers being identified, then repeat the analysis.  </t>
        </is>
      </c>
      <c r="D54" s="65">
        <f>H9</f>
        <v/>
      </c>
      <c r="E54" s="66">
        <f>if(F53&lt;0.009,IFERROR(0/0,""),E53+$H$36)</f>
        <v/>
      </c>
      <c r="F54" s="67">
        <f>if(F53&lt;0.009,IFERROR(0/0,""),($G$36*$H$36)*NORMDIST(E54,$I$14,$J$14,FALSE))</f>
        <v/>
      </c>
      <c r="G54" s="66" t="n"/>
      <c r="H54" s="66" t="n"/>
    </row>
    <row r="55" ht="15.75" customHeight="1">
      <c r="D55" s="65">
        <f>E10</f>
        <v/>
      </c>
      <c r="E55" s="66">
        <f>if(F54&lt;0.009,IFERROR(0/0,""),E54+$H$36)</f>
        <v/>
      </c>
      <c r="F55" s="67">
        <f>if(F54&lt;0.009,IFERROR(0/0,""),($G$36*$H$36)*NORMDIST(E55,$I$14,$J$14,FALSE))</f>
        <v/>
      </c>
      <c r="G55" s="66" t="n"/>
      <c r="H55" s="66" t="n"/>
    </row>
    <row r="56" ht="15.75" customHeight="1">
      <c r="D56" s="65">
        <f>F10</f>
        <v/>
      </c>
      <c r="E56" s="66">
        <f>if(F55&lt;0.009,IFERROR(0/0,""),E55+$H$36)</f>
        <v/>
      </c>
      <c r="F56" s="67">
        <f>if(F55&lt;0.009,IFERROR(0/0,""),($G$36*$H$36)*NORMDIST(E56,$I$14,$J$14,FALSE))</f>
        <v/>
      </c>
      <c r="G56" s="66" t="n"/>
      <c r="H56" s="66" t="n"/>
    </row>
    <row r="57" ht="15.75" customHeight="1">
      <c r="D57" s="65">
        <f>G10</f>
        <v/>
      </c>
      <c r="E57" s="66">
        <f>if(F56&lt;0.009,IFERROR(0/0,""),E56+$H$36)</f>
        <v/>
      </c>
      <c r="F57" s="67">
        <f>if(F56&lt;0.009,IFERROR(0/0,""),($G$36*$H$36)*NORMDIST(E57,$I$14,$J$14,FALSE))</f>
        <v/>
      </c>
      <c r="G57" s="66" t="n"/>
      <c r="H57" s="66" t="n"/>
    </row>
    <row r="58" ht="15.75" customHeight="1">
      <c r="D58" s="65">
        <f>H10</f>
        <v/>
      </c>
      <c r="E58" s="66">
        <f>if(F57&lt;0.009,IFERROR(0/0,""),E57+$H$36)</f>
        <v/>
      </c>
      <c r="F58" s="67">
        <f>if(F57&lt;0.009,IFERROR(0/0,""),($G$36*$H$36)*NORMDIST(E58,$I$14,$J$14,FALSE))</f>
        <v/>
      </c>
      <c r="G58" s="66" t="n"/>
      <c r="H58" s="66" t="n"/>
    </row>
    <row r="59" ht="15.75" customHeight="1">
      <c r="A59" s="22" t="inlineStr">
        <is>
          <t xml:space="preserve">5. Copy the resulting data set (with outliers removed) into the "Outliers Removed" summary table on the wet abrasion data sheet. </t>
        </is>
      </c>
      <c r="D59" s="65">
        <f>E11</f>
        <v/>
      </c>
      <c r="E59" s="66">
        <f>if(F58&lt;0.009,IFERROR(0/0,""),E58+$H$36)</f>
        <v/>
      </c>
      <c r="F59" s="67">
        <f>if(F58&lt;0.009,IFERROR(0/0,""),($G$36*$H$36)*NORMDIST(E59,$I$14,$J$14,FALSE))</f>
        <v/>
      </c>
      <c r="G59" s="66" t="n"/>
      <c r="H59" s="66" t="n"/>
    </row>
    <row r="60" ht="15.75" customHeight="1">
      <c r="D60" s="65">
        <f>F11</f>
        <v/>
      </c>
      <c r="E60" s="66">
        <f>if(F59&lt;0.009,IFERROR(0/0,""),E59+$H$36)</f>
        <v/>
      </c>
      <c r="F60" s="67">
        <f>if(F59&lt;0.009,IFERROR(0/0,""),($G$36*$H$36)*NORMDIST(E60,$I$14,$J$14,FALSE))</f>
        <v/>
      </c>
      <c r="G60" s="66" t="n"/>
      <c r="H60" s="66" t="n"/>
    </row>
    <row r="61" ht="15.75" customHeight="1">
      <c r="D61" s="65">
        <f>G11</f>
        <v/>
      </c>
      <c r="E61" s="66">
        <f>if(F60&lt;0.009,IFERROR(0/0,""),E60+$H$36)</f>
        <v/>
      </c>
      <c r="F61" s="67">
        <f>if(F60&lt;0.009,IFERROR(0/0,""),($G$36*$H$36)*NORMDIST(E61,$I$14,$J$14,FALSE))</f>
        <v/>
      </c>
      <c r="G61" s="66" t="n"/>
      <c r="H61" s="66" t="n"/>
    </row>
    <row r="62" ht="15.75" customHeight="1">
      <c r="D62" s="65">
        <f>H11</f>
        <v/>
      </c>
      <c r="E62" s="66">
        <f>if(F61&lt;0.009,IFERROR(0/0,""),E61+$H$36)</f>
        <v/>
      </c>
      <c r="F62" s="67">
        <f>if(F61&lt;0.009,IFERROR(0/0,""),($G$36*$H$36)*NORMDIST(E62,$I$14,$J$14,FALSE))</f>
        <v/>
      </c>
      <c r="G62" s="66" t="n"/>
      <c r="H62" s="66" t="n"/>
    </row>
    <row r="63" ht="15.75" customHeight="1">
      <c r="A63" s="22" t="inlineStr">
        <is>
          <t xml:space="preserve">6. Other things to consider once the outlier analysis is completed:  </t>
        </is>
      </c>
      <c r="D63" s="65">
        <f>E12</f>
        <v/>
      </c>
      <c r="E63" s="66">
        <f>if(F62&lt;0.009,IFERROR(0/0,""),E62+$H$36)</f>
        <v/>
      </c>
      <c r="F63" s="67">
        <f>if(F62&lt;0.009,IFERROR(0/0,""),($G$36*$H$36)*NORMDIST(E63,$I$14,$J$14,FALSE))</f>
        <v/>
      </c>
      <c r="G63" s="66" t="n"/>
      <c r="H63" s="66" t="n"/>
    </row>
    <row r="64" ht="15.75" customHeight="1">
      <c r="D64" s="65">
        <f>F12</f>
        <v/>
      </c>
      <c r="E64" s="66">
        <f>if(F63&lt;0.009,IFERROR(0/0,""),E63+$H$36)</f>
        <v/>
      </c>
      <c r="F64" s="67">
        <f>if(F63&lt;0.009,IFERROR(0/0,""),($G$36*$H$36)*NORMDIST(E64,$I$14,$J$14,FALSE))</f>
        <v/>
      </c>
      <c r="G64" s="66" t="n"/>
      <c r="H64" s="66" t="n"/>
    </row>
    <row r="65" ht="15.75" customHeight="1">
      <c r="A65" s="7" t="inlineStr">
        <is>
          <t xml:space="preserve">a) If there are fewer than 8 (for R&amp;D) or 12 (for QA) cell averages remaining then run additional sets. </t>
        </is>
      </c>
      <c r="D65" s="65">
        <f>G12</f>
        <v/>
      </c>
      <c r="E65" s="66">
        <f>if(F64&lt;0.009,IFERROR(0/0,""),E64+$H$36)</f>
        <v/>
      </c>
      <c r="F65" s="67">
        <f>if(F64&lt;0.009,IFERROR(0/0,""),($G$36*$H$36)*NORMDIST(E65,$I$14,$J$14,FALSE))</f>
        <v/>
      </c>
      <c r="G65" s="66" t="n"/>
      <c r="H65" s="66" t="n"/>
    </row>
    <row r="66" ht="15.75" customHeight="1">
      <c r="D66" s="65">
        <f>H12</f>
        <v/>
      </c>
      <c r="E66" s="66">
        <f>if(F65&lt;0.009,IFERROR(0/0,""),E65+$H$36)</f>
        <v/>
      </c>
      <c r="F66" s="67">
        <f>if(F65&lt;0.009,IFERROR(0/0,""),($G$36*$H$36)*NORMDIST(E66,$I$14,$J$14,FALSE))</f>
        <v/>
      </c>
      <c r="G66" s="66" t="n"/>
      <c r="H66" s="66" t="n"/>
    </row>
    <row r="67" ht="15.75" customHeight="1">
      <c r="D67" s="65">
        <f>E13</f>
        <v/>
      </c>
      <c r="E67" s="66">
        <f>if(F66&lt;0.009,IFERROR(0/0,""),E66+$H$36)</f>
        <v/>
      </c>
      <c r="F67" s="67">
        <f>if(F66&lt;0.009,IFERROR(0/0,""),($G$36*$H$36)*NORMDIST(E67,$I$14,$J$14,FALSE))</f>
        <v/>
      </c>
      <c r="G67" s="66" t="n"/>
      <c r="H67" s="66" t="n"/>
    </row>
    <row r="68" ht="15.75" customHeight="1">
      <c r="A68" s="7" t="inlineStr">
        <is>
          <t xml:space="preserve">b) If the standard deviations or set averages are still flagged orange then there might be a sample or machine issue. </t>
        </is>
      </c>
      <c r="D68" s="65">
        <f>F13</f>
        <v/>
      </c>
      <c r="E68" s="66">
        <f>if(F67&lt;0.009,IFERROR(0/0,""),E67+$H$36)</f>
        <v/>
      </c>
      <c r="F68" s="67">
        <f>if(F67&lt;0.009,IFERROR(0/0,""),($G$36*$H$36)*NORMDIST(E68,$I$14,$J$14,FALSE))</f>
        <v/>
      </c>
      <c r="G68" s="66" t="n"/>
      <c r="H68" s="66" t="n"/>
    </row>
    <row r="69" ht="15.75" customHeight="1">
      <c r="D69" s="65">
        <f>G13</f>
        <v/>
      </c>
      <c r="E69" s="66">
        <f>if(F68&lt;0.009,IFERROR(0/0,""),E68+$H$36)</f>
        <v/>
      </c>
      <c r="F69" s="67">
        <f>if(F68&lt;0.009,IFERROR(0/0,""),($G$36*$H$36)*NORMDIST(E69,$I$14,$J$14,FALSE))</f>
        <v/>
      </c>
      <c r="G69" s="66" t="n"/>
      <c r="H69" s="66" t="n"/>
    </row>
    <row r="70" ht="15.75" customHeight="1">
      <c r="D70" s="73">
        <f>H13</f>
        <v/>
      </c>
      <c r="E70" s="74">
        <f>if(F69&lt;0.009,IFERROR(0/0,""),E69+$H$36)</f>
        <v/>
      </c>
      <c r="F70" s="75">
        <f>if(F69&lt;0.009,IFERROR(0/0,""),($G$36*$H$36)*NORMDIST(E70,$I$14,$J$14,FALSE))</f>
        <v/>
      </c>
      <c r="G70" s="74" t="n"/>
      <c r="H70" s="74" t="n"/>
    </row>
    <row r="71" ht="15.75" customHeight="1"/>
    <row r="72" ht="15.75" customHeight="1">
      <c r="A72" s="22" t="inlineStr">
        <is>
          <t>c) If the same cell (e.g. BL) is consistently the lowest or highest there may be an issue with the cell and it should be investigated.</t>
        </is>
      </c>
      <c r="E72" s="50" t="inlineStr">
        <is>
          <t>End Row</t>
        </is>
      </c>
      <c r="F72" s="50" t="inlineStr">
        <is>
          <t>Norm. Range</t>
        </is>
      </c>
      <c r="G72" s="50" t="inlineStr">
        <is>
          <t>Hist. Range</t>
        </is>
      </c>
    </row>
    <row r="73" ht="15.75" customHeight="1">
      <c r="E73" s="76">
        <f>count(E39:E70)+38</f>
        <v/>
      </c>
      <c r="F73" s="77">
        <f>"Template!F39:F"&amp;E73</f>
        <v/>
      </c>
      <c r="G73" s="77">
        <f>"Template!G39:G"&amp;E73</f>
        <v/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8:A22"/>
    <mergeCell ref="A8:A12"/>
    <mergeCell ref="A5:A7"/>
    <mergeCell ref="A32:A34"/>
    <mergeCell ref="A23:A27"/>
    <mergeCell ref="A2:L2"/>
    <mergeCell ref="A35:A37"/>
    <mergeCell ref="A44:A48"/>
    <mergeCell ref="A3:A4"/>
    <mergeCell ref="A13:A17"/>
    <mergeCell ref="A49:A53"/>
    <mergeCell ref="B3:B73"/>
    <mergeCell ref="A72:A73"/>
    <mergeCell ref="A65:A67"/>
    <mergeCell ref="A63:A64"/>
    <mergeCell ref="A54:A58"/>
    <mergeCell ref="A38:A39"/>
    <mergeCell ref="A1:L1"/>
    <mergeCell ref="A28:A31"/>
    <mergeCell ref="A68:A71"/>
    <mergeCell ref="A59:A62"/>
    <mergeCell ref="A40:A43"/>
  </mergeCells>
  <conditionalFormatting sqref="E24:I31">
    <cfRule type="cellIs" priority="1" operator="equal" dxfId="0">
      <formula>"-"</formula>
    </cfRule>
    <cfRule type="expression" priority="2" dxfId="1">
      <formula>E24 &gt; $K$24</formula>
    </cfRule>
    <cfRule type="expression" priority="3" dxfId="2">
      <formula>E24&lt;$K$25</formula>
    </cfRule>
  </conditionalFormatting>
  <conditionalFormatting sqref="E9:H13">
    <cfRule type="containsBlanks" priority="4" dxfId="3">
      <formula>LEN(TRIM(E9))=0</formula>
    </cfRule>
    <cfRule type="expression" priority="5" dxfId="2">
      <formula>E9&lt;$H$19</formula>
    </cfRule>
    <cfRule type="expression" priority="6" dxfId="1">
      <formula>E9&gt;$I$19</formula>
    </cfRule>
  </conditionalFormatting>
  <conditionalFormatting sqref="I6:K13">
    <cfRule type="containsBlanks" priority="7" dxfId="4">
      <formula>LEN(TRIM(I6))=0</formula>
    </cfRule>
  </conditionalFormatting>
  <conditionalFormatting sqref="I6:I13">
    <cfRule type="expression" priority="8" dxfId="5">
      <formula>abs(I6-$I$14)&gt;10000</formula>
    </cfRule>
  </conditionalFormatting>
  <conditionalFormatting sqref="K6:K13">
    <cfRule type="cellIs" priority="9" operator="greaterThanOrEqual" dxfId="5">
      <formula>"35%"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2026-08-13T18:49:14Z</dcterms:created>
  <dcterms:modified xmlns:dcterms="http://purl.org/dc/terms/" xmlns:xsi="http://www.w3.org/2001/XMLSchema-instance" xsi:type="dcterms:W3CDTF">2026-08-13T18:49:14Z</dcterms:modified>
</cp:coreProperties>
</file>